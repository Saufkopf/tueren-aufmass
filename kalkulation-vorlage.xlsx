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f61ddea2d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ürkalkulation" sheetId="1" r:id="R67bb0efa2371481c"/>
    <x:sheet xmlns:r="http://schemas.openxmlformats.org/officeDocument/2006/relationships" name="Drücker &amp; Beschläge" sheetId="2" r:id="Rb0f12f09fadd4c6f"/>
    <x:sheet xmlns:r="http://schemas.openxmlformats.org/officeDocument/2006/relationships" name="Nebenkosten" sheetId="3" r:id="R61efc32e5b6f4944"/>
    <x:sheet xmlns:r="http://schemas.openxmlformats.org/officeDocument/2006/relationships" name="Zusammenfassung" sheetId="4" r:id="Rbfa428d593c94b2e"/>
    <x:sheet xmlns:r="http://schemas.openxmlformats.org/officeDocument/2006/relationships" name="Listen" sheetId="5" r:id="R2bd76646f16046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&quot;€&quot;;[Red](#,##0.00 &quot;€&quot;);-"/>
    <x:numFmt numFmtId="201" formatCode="0.0%;[Red](0.0%);-"/>
    <x:numFmt numFmtId="202" formatCode="#,##0;[Red](#,##0);-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66666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D9EAD3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0" fontId="3" fillId="4" borderId="0" xfId="0" applyNumberFormat="1" applyFont="1" applyFill="1" applyBorder="1" applyAlignment="1">
      <x:alignment horizontal="left" vertical="center"/>
    </x:xf>
    <x:xf numFmtId="200" fontId="3" fillId="4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200" fontId="6" fillId="0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200" fontId="6" fillId="0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2" fontId="4" fillId="0" borderId="6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wrapText="1"/>
    </x:xf>
    <x:xf numFmtId="200" fontId="5" fillId="0" borderId="6" xfId="0" applyNumberFormat="1" applyFont="1" applyFill="1" applyBorder="1" applyAlignment="1">
      <x:alignment wrapText="1"/>
    </x:xf>
    <x:xf numFmtId="201" fontId="5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2" fontId="4" fillId="0" borderId="9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wrapText="1"/>
    </x:xf>
    <x:xf numFmtId="201" fontId="4" fillId="0" borderId="9" xfId="0" applyNumberFormat="1" applyFont="1" applyFill="1" applyBorder="1" applyAlignment="1">
      <x:alignment wrapText="1"/>
    </x:xf>
    <x:xf numFmtId="200" fontId="5" fillId="0" borderId="9" xfId="0" applyNumberFormat="1" applyFont="1" applyFill="1" applyBorder="1" applyAlignment="1">
      <x:alignment wrapText="1"/>
    </x:xf>
    <x:xf numFmtId="201" fontId="5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202" fontId="4" fillId="0" borderId="15" xfId="0" applyNumberFormat="1" applyFont="1" applyFill="1" applyBorder="1" applyAlignment="1">
      <x:alignment wrapText="1"/>
    </x:xf>
    <x:xf numFmtId="200" fontId="4" fillId="0" borderId="15" xfId="0" applyNumberFormat="1" applyFont="1" applyFill="1" applyBorder="1" applyAlignment="1">
      <x:alignment wrapText="1"/>
    </x:xf>
    <x:xf numFmtId="201" fontId="4" fillId="0" borderId="15" xfId="0" applyNumberFormat="1" applyFont="1" applyFill="1" applyBorder="1" applyAlignment="1">
      <x:alignment wrapText="1"/>
    </x:xf>
    <x:xf numFmtId="200" fontId="5" fillId="0" borderId="15" xfId="0" applyNumberFormat="1" applyFont="1" applyFill="1" applyBorder="1" applyAlignment="1">
      <x:alignment wrapText="1"/>
    </x:xf>
    <x:xf numFmtId="201" fontId="5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202" fontId="4" fillId="0" borderId="18" xfId="0" applyNumberFormat="1" applyFont="1" applyFill="1" applyBorder="1" applyAlignment="1">
      <x:alignment wrapText="1"/>
    </x:xf>
    <x:xf numFmtId="200" fontId="4" fillId="0" borderId="18" xfId="0" applyNumberFormat="1" applyFont="1" applyFill="1" applyBorder="1" applyAlignment="1">
      <x:alignment wrapText="1"/>
    </x:xf>
    <x:xf numFmtId="201" fontId="4" fillId="0" borderId="18" xfId="0" applyNumberFormat="1" applyFont="1" applyFill="1" applyBorder="1" applyAlignment="1">
      <x:alignment wrapText="1"/>
    </x:xf>
    <x:xf numFmtId="200" fontId="5" fillId="0" borderId="18" xfId="0" applyNumberFormat="1" applyFont="1" applyFill="1" applyBorder="1" applyAlignment="1">
      <x:alignment wrapText="1"/>
    </x:xf>
    <x:xf numFmtId="201" fontId="5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6" fillId="0" borderId="6" xfId="0" applyNumberFormat="1" applyFont="1" applyFill="1" applyBorder="1" applyAlignment="1">
      <x:alignment wrapText="1"/>
    </x:xf>
    <x:xf numFmtId="200" fontId="6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201" fontId="6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6" fillId="0" borderId="15" xfId="0" applyNumberFormat="1" applyFont="1" applyFill="1" applyBorder="1" applyAlignment="1">
      <x:alignment wrapText="1"/>
    </x:xf>
    <x:xf numFmtId="200" fontId="6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201" fontId="6" fillId="0" borderId="1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left" vertical="center" wrapText="1"/>
    </x:xf>
    <x:xf numFmtId="200" fontId="3" fillId="4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db46353c546bb" /><Relationship Type="http://schemas.openxmlformats.org/officeDocument/2006/relationships/theme" Target="/xl/theme/theme1.xml" Id="R50b2a0bf46dd4063" /><Relationship Type="http://schemas.openxmlformats.org/officeDocument/2006/relationships/sharedStrings" Target="/xl/sharedStrings.xml" Id="R51cdd22c1fa5423c" /><Relationship Type="http://schemas.openxmlformats.org/officeDocument/2006/relationships/worksheet" Target="/xl/worksheets/sheet1.xml" Id="R67bb0efa2371481c" /><Relationship Type="http://schemas.openxmlformats.org/officeDocument/2006/relationships/worksheet" Target="/xl/worksheets/sheet2.xml" Id="Rb0f12f09fadd4c6f" /><Relationship Type="http://schemas.openxmlformats.org/officeDocument/2006/relationships/worksheet" Target="/xl/worksheets/sheet3.xml" Id="R61efc32e5b6f4944" /><Relationship Type="http://schemas.openxmlformats.org/officeDocument/2006/relationships/worksheet" Target="/xl/worksheets/sheet4.xml" Id="Rbfa428d593c94b2e" /><Relationship Type="http://schemas.openxmlformats.org/officeDocument/2006/relationships/worksheet" Target="/xl/worksheets/sheet5.xml" Id="R2bd76646f16046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c538f7d41742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Zusammensetzung Kundenpreis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'Zusammenfassung'!$F$4:$F$8</c:f>
              <c:strCache>
                <c:ptCount val="0"/>
              </c:strCache>
            </c:strRef>
          </c:cat>
          <c:val>
            <c:numRef>
              <c:f>'Zusammenfassung'!$G$4:$G$8</c:f>
              <c:numCache>
                <c:formatCode>#,##0.00 "€";[Red](#,##0.00 "€");-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c538f7d41742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f15ba4e02974bc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8" hidden="0" customWidth="1"/>
    <x:col min="4" max="4" width="8" hidden="0" customWidth="1"/>
    <x:col min="5" max="5" width="14" hidden="0" customWidth="1"/>
    <x:col min="6" max="6" width="12" hidden="0" customWidth="1"/>
    <x:col min="7" max="7" width="13" hidden="0" customWidth="1"/>
    <x:col min="8" max="8" width="16" hidden="0" customWidth="1"/>
    <x:col min="9" max="9" width="8" hidden="0" customWidth="1"/>
    <x:col min="10" max="10" width="12" hidden="0" customWidth="1"/>
    <x:col min="11" max="11" width="15" hidden="0" customWidth="1"/>
    <x:col min="12" max="12" width="13" hidden="0" customWidth="1"/>
    <x:col min="13" max="13" width="12" hidden="0" customWidth="1"/>
    <x:col min="14" max="14" width="14" hidden="0" customWidth="1"/>
    <x:col min="15" max="15" width="18" hidden="0" customWidth="1"/>
    <x:col min="16" max="16" width="24" hidden="0" customWidth="1"/>
  </x:cols>
  <x:sheetData>
    <x:row r="1">
      <x:c r="A1" s="5" t="str">
        <x:v>Türkalkulation – interne Kalkulation je Tür / Element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0" t="str">
        <x:v>Blau = Eingabe | Schwarz = Formel | Grün = Wert aus anderem Tabellenblatt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</x:row>
    <x:row r="4">
      <x:c r="A4" s="82" t="str">
        <x:v>Pos.</x:v>
      </x:c>
      <x:c r="B4" s="83" t="str">
        <x:v>Bezeichnung</x:v>
      </x:c>
      <x:c r="C4" s="83" t="str">
        <x:v>Element / Art</x:v>
      </x:c>
      <x:c r="D4" s="83" t="str">
        <x:v>Menge</x:v>
      </x:c>
      <x:c r="E4" s="83" t="str">
        <x:v>EK Element/Stk.</x:v>
      </x:c>
      <x:c r="F4" s="83" t="str">
        <x:v>Sondermaß %</x:v>
      </x:c>
      <x:c r="G4" s="83" t="str">
        <x:v>Sondermaß €</x:v>
      </x:c>
      <x:c r="H4" s="83" t="str">
        <x:v>Band/Zubehör/Stk.</x:v>
      </x:c>
      <x:c r="I4" s="83" t="str">
        <x:v>Anzahl</x:v>
      </x:c>
      <x:c r="J4" s="83" t="str">
        <x:v>Zubehör €</x:v>
      </x:c>
      <x:c r="K4" s="83" t="str">
        <x:v>Sonst. Aufpreis €</x:v>
      </x:c>
      <x:c r="L4" s="83" t="str">
        <x:v>EK gesamt</x:v>
      </x:c>
      <x:c r="M4" s="83" t="str">
        <x:v>Aufschlag %</x:v>
      </x:c>
      <x:c r="N4" s="83" t="str">
        <x:v>VK Material</x:v>
      </x:c>
      <x:c r="O4" s="83" t="str">
        <x:v>Kunden-Gruppe</x:v>
      </x:c>
      <x:c r="P4" s="84" t="str">
        <x:v>Notiz</x:v>
      </x:c>
    </x:row>
    <x:row r="5">
      <x:c r="A5" s="85" t="n">
        <x:v>1</x:v>
      </x:c>
      <x:c r="B5" s="86" t="str">
        <x:v>Schlafzimmer</x:v>
      </x:c>
      <x:c r="C5" s="86" t="str">
        <x:v>Türe + Zarge</x:v>
      </x:c>
      <x:c r="D5" s="87" t="n">
        <x:v>1</x:v>
      </x:c>
      <x:c r="E5" s="88" t="n">
        <x:v>420</x:v>
      </x:c>
      <x:c r="F5" s="89" t="n">
        <x:v>0</x:v>
      </x:c>
      <x:c r="G5" s="90" t="n">
        <x:f>D5*E5*F5</x:f>
        <x:v>0</x:v>
      </x:c>
      <x:c r="H5" s="88" t="n">
        <x:v>0</x:v>
      </x:c>
      <x:c r="I5" s="87" t="n">
        <x:v>0</x:v>
      </x:c>
      <x:c r="J5" s="90" t="n">
        <x:f>H5*I5</x:f>
        <x:v>0</x:v>
      </x:c>
      <x:c r="K5" s="88" t="n">
        <x:v>0</x:v>
      </x:c>
      <x:c r="L5" s="90" t="n">
        <x:f>D5*E5+G5+J5+K5</x:f>
        <x:v>420</x:v>
      </x:c>
      <x:c r="M5" s="91" t="n">
        <x:v>0.35</x:v>
      </x:c>
      <x:c r="N5" s="90" t="n">
        <x:f>L5*(1+M5)</x:f>
        <x:v>567</x:v>
      </x:c>
      <x:c r="O5" s="86" t="str">
        <x:v>Innentürelemente</x:v>
      </x:c>
      <x:c r="P5" s="92" t="str"/>
    </x:row>
    <x:row r="6">
      <x:c r="A6" s="85" t="n">
        <x:v>2</x:v>
      </x:c>
      <x:c r="B6" s="86" t="str">
        <x:v>Bad</x:v>
      </x:c>
      <x:c r="C6" s="86" t="str">
        <x:v>Türe + Zarge</x:v>
      </x:c>
      <x:c r="D6" s="87" t="n">
        <x:v>1</x:v>
      </x:c>
      <x:c r="E6" s="88" t="n">
        <x:v>440</x:v>
      </x:c>
      <x:c r="F6" s="89" t="n">
        <x:v>0</x:v>
      </x:c>
      <x:c r="G6" s="90" t="n">
        <x:f>D6*E6*F6</x:f>
        <x:v>0</x:v>
      </x:c>
      <x:c r="H6" s="88" t="n">
        <x:v>18</x:v>
      </x:c>
      <x:c r="I6" s="87" t="n">
        <x:v>1</x:v>
      </x:c>
      <x:c r="J6" s="90" t="n">
        <x:f>H6*I6</x:f>
        <x:v>18</x:v>
      </x:c>
      <x:c r="K6" s="88" t="n">
        <x:v>0</x:v>
      </x:c>
      <x:c r="L6" s="90" t="n">
        <x:f>D6*E6+G6+J6+K6</x:f>
        <x:v>458</x:v>
      </x:c>
      <x:c r="M6" s="91" t="n">
        <x:v>0.35</x:v>
      </x:c>
      <x:c r="N6" s="90" t="n">
        <x:f>L6*(1+M6)</x:f>
        <x:v>618.3000000000001</x:v>
      </x:c>
      <x:c r="O6" s="86" t="str">
        <x:v>Innentürelemente</x:v>
      </x:c>
      <x:c r="P6" s="92" t="str">
        <x:v>WC</x:v>
      </x:c>
    </x:row>
    <x:row r="7">
      <x:c r="A7" s="85" t="n">
        <x:v>3</x:v>
      </x:c>
      <x:c r="B7" s="86" t="str">
        <x:v>Kinderzimmer</x:v>
      </x:c>
      <x:c r="C7" s="86" t="str">
        <x:v>Türe + Zarge</x:v>
      </x:c>
      <x:c r="D7" s="87" t="n">
        <x:v>1</x:v>
      </x:c>
      <x:c r="E7" s="88" t="n">
        <x:v>420</x:v>
      </x:c>
      <x:c r="F7" s="89" t="n">
        <x:v>0</x:v>
      </x:c>
      <x:c r="G7" s="90" t="n">
        <x:f>D7*E7*F7</x:f>
        <x:v>0</x:v>
      </x:c>
      <x:c r="H7" s="88" t="n">
        <x:v>0</x:v>
      </x:c>
      <x:c r="I7" s="87" t="n">
        <x:v>0</x:v>
      </x:c>
      <x:c r="J7" s="90" t="n">
        <x:f>H7*I7</x:f>
        <x:v>0</x:v>
      </x:c>
      <x:c r="K7" s="88" t="n">
        <x:v>0</x:v>
      </x:c>
      <x:c r="L7" s="90" t="n">
        <x:f>D7*E7+G7+J7+K7</x:f>
        <x:v>420</x:v>
      </x:c>
      <x:c r="M7" s="91" t="n">
        <x:v>0.35</x:v>
      </x:c>
      <x:c r="N7" s="90" t="n">
        <x:f>L7*(1+M7)</x:f>
        <x:v>567</x:v>
      </x:c>
      <x:c r="O7" s="86" t="str">
        <x:v>Innentürelemente</x:v>
      </x:c>
      <x:c r="P7" s="92" t="str"/>
    </x:row>
    <x:row r="8">
      <x:c r="A8" s="85" t="n">
        <x:v>4</x:v>
      </x:c>
      <x:c r="B8" s="86" t="str">
        <x:v>EG Esszimmer</x:v>
      </x:c>
      <x:c r="C8" s="86" t="str">
        <x:v>2-flügelig</x:v>
      </x:c>
      <x:c r="D8" s="87" t="n">
        <x:v>1</x:v>
      </x:c>
      <x:c r="E8" s="88" t="n">
        <x:v>720</x:v>
      </x:c>
      <x:c r="F8" s="89" t="n">
        <x:v>0.15</x:v>
      </x:c>
      <x:c r="G8" s="90" t="n">
        <x:f>D8*E8*F8</x:f>
        <x:v>108</x:v>
      </x:c>
      <x:c r="H8" s="88" t="n">
        <x:v>24</x:v>
      </x:c>
      <x:c r="I8" s="87" t="n">
        <x:v>2</x:v>
      </x:c>
      <x:c r="J8" s="90" t="n">
        <x:f>H8*I8</x:f>
        <x:v>48</x:v>
      </x:c>
      <x:c r="K8" s="88" t="n">
        <x:v>0</x:v>
      </x:c>
      <x:c r="L8" s="90" t="n">
        <x:f>D8*E8+G8+J8+K8</x:f>
        <x:v>876</x:v>
      </x:c>
      <x:c r="M8" s="91" t="n">
        <x:v>0.35</x:v>
      </x:c>
      <x:c r="N8" s="90" t="n">
        <x:f>L8*(1+M8)</x:f>
        <x:v>1182.6000000000001</x:v>
      </x:c>
      <x:c r="O8" s="86" t="str">
        <x:v>Innentürelemente</x:v>
      </x:c>
      <x:c r="P8" s="92" t="str">
        <x:v>Sondermaß</x:v>
      </x:c>
    </x:row>
    <x:row r="9">
      <x:c r="A9" s="85" t="n">
        <x:v>5</x:v>
      </x:c>
      <x:c r="B9" s="86" t="str">
        <x:v>EG Küche</x:v>
      </x:c>
      <x:c r="C9" s="86" t="str">
        <x:v>Schiebetüre</x:v>
      </x:c>
      <x:c r="D9" s="87" t="n">
        <x:v>1</x:v>
      </x:c>
      <x:c r="E9" s="88" t="n">
        <x:v>610</x:v>
      </x:c>
      <x:c r="F9" s="89" t="n">
        <x:v>0</x:v>
      </x:c>
      <x:c r="G9" s="90" t="n">
        <x:f>D9*E9*F9</x:f>
        <x:v>0</x:v>
      </x:c>
      <x:c r="H9" s="88" t="n">
        <x:v>0</x:v>
      </x:c>
      <x:c r="I9" s="87" t="n">
        <x:v>0</x:v>
      </x:c>
      <x:c r="J9" s="90" t="n">
        <x:f>H9*I9</x:f>
        <x:v>0</x:v>
      </x:c>
      <x:c r="K9" s="88" t="n">
        <x:v>45</x:v>
      </x:c>
      <x:c r="L9" s="90" t="n">
        <x:f>D9*E9+G9+J9+K9</x:f>
        <x:v>655</x:v>
      </x:c>
      <x:c r="M9" s="91" t="n">
        <x:v>0.35</x:v>
      </x:c>
      <x:c r="N9" s="90" t="n">
        <x:f>L9*(1+M9)</x:f>
        <x:v>884.2500000000001</x:v>
      </x:c>
      <x:c r="O9" s="86" t="str">
        <x:v>Innentürelemente</x:v>
      </x:c>
      <x:c r="P9" s="92" t="str">
        <x:v>Muschelgriff separat</x:v>
      </x:c>
    </x:row>
    <x:row r="10">
      <x:c r="A10" s="85" t="n">
        <x:v>6</x:v>
      </x:c>
      <x:c r="B10" s="86" t="str">
        <x:v>WC</x:v>
      </x:c>
      <x:c r="C10" s="86" t="str">
        <x:v>nur Zarge</x:v>
      </x:c>
      <x:c r="D10" s="87" t="n">
        <x:v>1</x:v>
      </x:c>
      <x:c r="E10" s="88" t="n">
        <x:v>235</x:v>
      </x:c>
      <x:c r="F10" s="89" t="n">
        <x:v>0</x:v>
      </x:c>
      <x:c r="G10" s="90" t="n">
        <x:f>D10*E10*F10</x:f>
        <x:v>0</x:v>
      </x:c>
      <x:c r="H10" s="88" t="n">
        <x:v>0</x:v>
      </x:c>
      <x:c r="I10" s="87" t="n">
        <x:v>0</x:v>
      </x:c>
      <x:c r="J10" s="90" t="n">
        <x:f>H10*I10</x:f>
        <x:v>0</x:v>
      </x:c>
      <x:c r="K10" s="88" t="n">
        <x:v>0</x:v>
      </x:c>
      <x:c r="L10" s="90" t="n">
        <x:f>D10*E10+G10+J10+K10</x:f>
        <x:v>235</x:v>
      </x:c>
      <x:c r="M10" s="91" t="n">
        <x:v>0.35</x:v>
      </x:c>
      <x:c r="N10" s="90" t="n">
        <x:f>L10*(1+M10)</x:f>
        <x:v>317.25</x:v>
      </x:c>
      <x:c r="O10" s="86" t="str">
        <x:v>Innentürelemente</x:v>
      </x:c>
      <x:c r="P10" s="92" t="str">
        <x:v>Durchgangszarge</x:v>
      </x:c>
    </x:row>
    <x:row r="11">
      <x:c r="A11" s="85" t="n">
        <x:v>7</x:v>
      </x:c>
      <x:c r="B11" s="86" t="str">
        <x:v>Büro</x:v>
      </x:c>
      <x:c r="C11" s="86" t="str">
        <x:v>Türe + Zarge</x:v>
      </x:c>
      <x:c r="D11" s="87" t="n">
        <x:v>1</x:v>
      </x:c>
      <x:c r="E11" s="88" t="n">
        <x:v>430</x:v>
      </x:c>
      <x:c r="F11" s="89" t="n">
        <x:v>0</x:v>
      </x:c>
      <x:c r="G11" s="90" t="n">
        <x:f>D11*E11*F11</x:f>
        <x:v>0</x:v>
      </x:c>
      <x:c r="H11" s="88" t="n">
        <x:v>18</x:v>
      </x:c>
      <x:c r="I11" s="87" t="n">
        <x:v>1</x:v>
      </x:c>
      <x:c r="J11" s="90" t="n">
        <x:f>H11*I11</x:f>
        <x:v>18</x:v>
      </x:c>
      <x:c r="K11" s="88" t="n">
        <x:v>0</x:v>
      </x:c>
      <x:c r="L11" s="90" t="n">
        <x:f>D11*E11+G11+J11+K11</x:f>
        <x:v>448</x:v>
      </x:c>
      <x:c r="M11" s="91" t="n">
        <x:v>0.35</x:v>
      </x:c>
      <x:c r="N11" s="90" t="n">
        <x:f>L11*(1+M11)</x:f>
        <x:v>604.8000000000001</x:v>
      </x:c>
      <x:c r="O11" s="86" t="str">
        <x:v>Innentürelemente</x:v>
      </x:c>
      <x:c r="P11" s="92" t="str">
        <x:v>schwarze Bänder</x:v>
      </x:c>
    </x:row>
    <x:row r="12">
      <x:c r="A12" s="85"/>
      <x:c r="B12" s="86"/>
      <x:c r="C12" s="86"/>
      <x:c r="D12" s="87"/>
      <x:c r="E12" s="88"/>
      <x:c r="F12" s="89"/>
      <x:c r="G12" s="90" t="n">
        <x:f>D12*E12*F12</x:f>
        <x:v>0</x:v>
      </x:c>
      <x:c r="H12" s="88"/>
      <x:c r="I12" s="87"/>
      <x:c r="J12" s="90" t="n">
        <x:f>H12*I12</x:f>
        <x:v>0</x:v>
      </x:c>
      <x:c r="K12" s="88"/>
      <x:c r="L12" s="90" t="n">
        <x:f>D12*E12+G12+J12+K12</x:f>
        <x:v>0</x:v>
      </x:c>
      <x:c r="M12" s="91"/>
      <x:c r="N12" s="90" t="n">
        <x:f>L12*(1+M12)</x:f>
        <x:v>0</x:v>
      </x:c>
      <x:c r="O12" s="86"/>
      <x:c r="P12" s="92"/>
    </x:row>
    <x:row r="13">
      <x:c r="A13" s="85"/>
      <x:c r="B13" s="86"/>
      <x:c r="C13" s="86"/>
      <x:c r="D13" s="87"/>
      <x:c r="E13" s="88"/>
      <x:c r="F13" s="89"/>
      <x:c r="G13" s="90" t="n">
        <x:f>D13*E13*F13</x:f>
        <x:v>0</x:v>
      </x:c>
      <x:c r="H13" s="88"/>
      <x:c r="I13" s="87"/>
      <x:c r="J13" s="90" t="n">
        <x:f>H13*I13</x:f>
        <x:v>0</x:v>
      </x:c>
      <x:c r="K13" s="88"/>
      <x:c r="L13" s="90" t="n">
        <x:f>D13*E13+G13+J13+K13</x:f>
        <x:v>0</x:v>
      </x:c>
      <x:c r="M13" s="91"/>
      <x:c r="N13" s="90" t="n">
        <x:f>L13*(1+M13)</x:f>
        <x:v>0</x:v>
      </x:c>
      <x:c r="O13" s="86"/>
      <x:c r="P13" s="92"/>
    </x:row>
    <x:row r="14">
      <x:c r="A14" s="85"/>
      <x:c r="B14" s="86"/>
      <x:c r="C14" s="86"/>
      <x:c r="D14" s="87"/>
      <x:c r="E14" s="88"/>
      <x:c r="F14" s="89"/>
      <x:c r="G14" s="90" t="n">
        <x:f>D14*E14*F14</x:f>
        <x:v>0</x:v>
      </x:c>
      <x:c r="H14" s="88"/>
      <x:c r="I14" s="87"/>
      <x:c r="J14" s="90" t="n">
        <x:f>H14*I14</x:f>
        <x:v>0</x:v>
      </x:c>
      <x:c r="K14" s="88"/>
      <x:c r="L14" s="90" t="n">
        <x:f>D14*E14+G14+J14+K14</x:f>
        <x:v>0</x:v>
      </x:c>
      <x:c r="M14" s="91"/>
      <x:c r="N14" s="90" t="n">
        <x:f>L14*(1+M14)</x:f>
        <x:v>0</x:v>
      </x:c>
      <x:c r="O14" s="86"/>
      <x:c r="P14" s="92"/>
    </x:row>
    <x:row r="15">
      <x:c r="A15" s="85"/>
      <x:c r="B15" s="86"/>
      <x:c r="C15" s="86"/>
      <x:c r="D15" s="87"/>
      <x:c r="E15" s="88"/>
      <x:c r="F15" s="89"/>
      <x:c r="G15" s="90" t="n">
        <x:f>D15*E15*F15</x:f>
        <x:v>0</x:v>
      </x:c>
      <x:c r="H15" s="88"/>
      <x:c r="I15" s="87"/>
      <x:c r="J15" s="90" t="n">
        <x:f>H15*I15</x:f>
        <x:v>0</x:v>
      </x:c>
      <x:c r="K15" s="88"/>
      <x:c r="L15" s="90" t="n">
        <x:f>D15*E15+G15+J15+K15</x:f>
        <x:v>0</x:v>
      </x:c>
      <x:c r="M15" s="91"/>
      <x:c r="N15" s="90" t="n">
        <x:f>L15*(1+M15)</x:f>
        <x:v>0</x:v>
      </x:c>
      <x:c r="O15" s="86"/>
      <x:c r="P15" s="92"/>
    </x:row>
    <x:row r="16">
      <x:c r="A16" s="85"/>
      <x:c r="B16" s="86"/>
      <x:c r="C16" s="86"/>
      <x:c r="D16" s="87"/>
      <x:c r="E16" s="88"/>
      <x:c r="F16" s="89"/>
      <x:c r="G16" s="90" t="n">
        <x:f>D16*E16*F16</x:f>
        <x:v>0</x:v>
      </x:c>
      <x:c r="H16" s="88"/>
      <x:c r="I16" s="87"/>
      <x:c r="J16" s="90" t="n">
        <x:f>H16*I16</x:f>
        <x:v>0</x:v>
      </x:c>
      <x:c r="K16" s="88"/>
      <x:c r="L16" s="90" t="n">
        <x:f>D16*E16+G16+J16+K16</x:f>
        <x:v>0</x:v>
      </x:c>
      <x:c r="M16" s="91"/>
      <x:c r="N16" s="90" t="n">
        <x:f>L16*(1+M16)</x:f>
        <x:v>0</x:v>
      </x:c>
      <x:c r="O16" s="86"/>
      <x:c r="P16" s="92"/>
    </x:row>
    <x:row r="17">
      <x:c r="A17" s="85"/>
      <x:c r="B17" s="86"/>
      <x:c r="C17" s="86"/>
      <x:c r="D17" s="87"/>
      <x:c r="E17" s="88"/>
      <x:c r="F17" s="89"/>
      <x:c r="G17" s="90" t="n">
        <x:f>D17*E17*F17</x:f>
        <x:v>0</x:v>
      </x:c>
      <x:c r="H17" s="88"/>
      <x:c r="I17" s="87"/>
      <x:c r="J17" s="90" t="n">
        <x:f>H17*I17</x:f>
        <x:v>0</x:v>
      </x:c>
      <x:c r="K17" s="88"/>
      <x:c r="L17" s="90" t="n">
        <x:f>D17*E17+G17+J17+K17</x:f>
        <x:v>0</x:v>
      </x:c>
      <x:c r="M17" s="91"/>
      <x:c r="N17" s="90" t="n">
        <x:f>L17*(1+M17)</x:f>
        <x:v>0</x:v>
      </x:c>
      <x:c r="O17" s="86"/>
      <x:c r="P17" s="92"/>
    </x:row>
    <x:row r="18">
      <x:c r="A18" s="85"/>
      <x:c r="B18" s="86"/>
      <x:c r="C18" s="86"/>
      <x:c r="D18" s="87"/>
      <x:c r="E18" s="88"/>
      <x:c r="F18" s="89"/>
      <x:c r="G18" s="90" t="n">
        <x:f>D18*E18*F18</x:f>
        <x:v>0</x:v>
      </x:c>
      <x:c r="H18" s="88"/>
      <x:c r="I18" s="87"/>
      <x:c r="J18" s="90" t="n">
        <x:f>H18*I18</x:f>
        <x:v>0</x:v>
      </x:c>
      <x:c r="K18" s="88"/>
      <x:c r="L18" s="90" t="n">
        <x:f>D18*E18+G18+J18+K18</x:f>
        <x:v>0</x:v>
      </x:c>
      <x:c r="M18" s="91"/>
      <x:c r="N18" s="90" t="n">
        <x:f>L18*(1+M18)</x:f>
        <x:v>0</x:v>
      </x:c>
      <x:c r="O18" s="86"/>
      <x:c r="P18" s="92"/>
    </x:row>
    <x:row r="19">
      <x:c r="A19" s="85"/>
      <x:c r="B19" s="86"/>
      <x:c r="C19" s="86"/>
      <x:c r="D19" s="87"/>
      <x:c r="E19" s="88"/>
      <x:c r="F19" s="89"/>
      <x:c r="G19" s="90" t="n">
        <x:f>D19*E19*F19</x:f>
        <x:v>0</x:v>
      </x:c>
      <x:c r="H19" s="88"/>
      <x:c r="I19" s="87"/>
      <x:c r="J19" s="90" t="n">
        <x:f>H19*I19</x:f>
        <x:v>0</x:v>
      </x:c>
      <x:c r="K19" s="88"/>
      <x:c r="L19" s="90" t="n">
        <x:f>D19*E19+G19+J19+K19</x:f>
        <x:v>0</x:v>
      </x:c>
      <x:c r="M19" s="91"/>
      <x:c r="N19" s="90" t="n">
        <x:f>L19*(1+M19)</x:f>
        <x:v>0</x:v>
      </x:c>
      <x:c r="O19" s="86"/>
      <x:c r="P19" s="92"/>
    </x:row>
    <x:row r="20">
      <x:c r="A20" s="85"/>
      <x:c r="B20" s="86"/>
      <x:c r="C20" s="86"/>
      <x:c r="D20" s="87"/>
      <x:c r="E20" s="88"/>
      <x:c r="F20" s="89"/>
      <x:c r="G20" s="90" t="n">
        <x:f>D20*E20*F20</x:f>
        <x:v>0</x:v>
      </x:c>
      <x:c r="H20" s="88"/>
      <x:c r="I20" s="87"/>
      <x:c r="J20" s="90" t="n">
        <x:f>H20*I20</x:f>
        <x:v>0</x:v>
      </x:c>
      <x:c r="K20" s="88"/>
      <x:c r="L20" s="90" t="n">
        <x:f>D20*E20+G20+J20+K20</x:f>
        <x:v>0</x:v>
      </x:c>
      <x:c r="M20" s="91"/>
      <x:c r="N20" s="90" t="n">
        <x:f>L20*(1+M20)</x:f>
        <x:v>0</x:v>
      </x:c>
      <x:c r="O20" s="86"/>
      <x:c r="P20" s="92"/>
    </x:row>
    <x:row r="21">
      <x:c r="A21" s="85"/>
      <x:c r="B21" s="86"/>
      <x:c r="C21" s="86"/>
      <x:c r="D21" s="87"/>
      <x:c r="E21" s="88"/>
      <x:c r="F21" s="89"/>
      <x:c r="G21" s="90" t="n">
        <x:f>D21*E21*F21</x:f>
        <x:v>0</x:v>
      </x:c>
      <x:c r="H21" s="88"/>
      <x:c r="I21" s="87"/>
      <x:c r="J21" s="90" t="n">
        <x:f>H21*I21</x:f>
        <x:v>0</x:v>
      </x:c>
      <x:c r="K21" s="88"/>
      <x:c r="L21" s="90" t="n">
        <x:f>D21*E21+G21+J21+K21</x:f>
        <x:v>0</x:v>
      </x:c>
      <x:c r="M21" s="91"/>
      <x:c r="N21" s="90" t="n">
        <x:f>L21*(1+M21)</x:f>
        <x:v>0</x:v>
      </x:c>
      <x:c r="O21" s="86"/>
      <x:c r="P21" s="92"/>
    </x:row>
    <x:row r="22">
      <x:c r="A22" s="85"/>
      <x:c r="B22" s="86"/>
      <x:c r="C22" s="86"/>
      <x:c r="D22" s="87"/>
      <x:c r="E22" s="88"/>
      <x:c r="F22" s="89"/>
      <x:c r="G22" s="90" t="n">
        <x:f>D22*E22*F22</x:f>
        <x:v>0</x:v>
      </x:c>
      <x:c r="H22" s="88"/>
      <x:c r="I22" s="87"/>
      <x:c r="J22" s="90" t="n">
        <x:f>H22*I22</x:f>
        <x:v>0</x:v>
      </x:c>
      <x:c r="K22" s="88"/>
      <x:c r="L22" s="90" t="n">
        <x:f>D22*E22+G22+J22+K22</x:f>
        <x:v>0</x:v>
      </x:c>
      <x:c r="M22" s="91"/>
      <x:c r="N22" s="90" t="n">
        <x:f>L22*(1+M22)</x:f>
        <x:v>0</x:v>
      </x:c>
      <x:c r="O22" s="86"/>
      <x:c r="P22" s="92"/>
    </x:row>
    <x:row r="23">
      <x:c r="A23" s="85"/>
      <x:c r="B23" s="86"/>
      <x:c r="C23" s="86"/>
      <x:c r="D23" s="87"/>
      <x:c r="E23" s="88"/>
      <x:c r="F23" s="89"/>
      <x:c r="G23" s="90" t="n">
        <x:f>D23*E23*F23</x:f>
        <x:v>0</x:v>
      </x:c>
      <x:c r="H23" s="88"/>
      <x:c r="I23" s="87"/>
      <x:c r="J23" s="90" t="n">
        <x:f>H23*I23</x:f>
        <x:v>0</x:v>
      </x:c>
      <x:c r="K23" s="88"/>
      <x:c r="L23" s="90" t="n">
        <x:f>D23*E23+G23+J23+K23</x:f>
        <x:v>0</x:v>
      </x:c>
      <x:c r="M23" s="91"/>
      <x:c r="N23" s="90" t="n">
        <x:f>L23*(1+M23)</x:f>
        <x:v>0</x:v>
      </x:c>
      <x:c r="O23" s="86"/>
      <x:c r="P23" s="92"/>
    </x:row>
    <x:row r="24">
      <x:c r="A24" s="93"/>
      <x:c r="B24" s="94"/>
      <x:c r="C24" s="94"/>
      <x:c r="D24" s="95"/>
      <x:c r="E24" s="96"/>
      <x:c r="F24" s="97"/>
      <x:c r="G24" s="98" t="n">
        <x:f>D24*E24*F24</x:f>
        <x:v>0</x:v>
      </x:c>
      <x:c r="H24" s="96"/>
      <x:c r="I24" s="95"/>
      <x:c r="J24" s="98" t="n">
        <x:f>H24*I24</x:f>
        <x:v>0</x:v>
      </x:c>
      <x:c r="K24" s="96"/>
      <x:c r="L24" s="98" t="n">
        <x:f>D24*E24+G24+J24+K24</x:f>
        <x:v>0</x:v>
      </x:c>
      <x:c r="M24" s="99"/>
      <x:c r="N24" s="98" t="n">
        <x:f>L24*(1+M24)</x:f>
        <x:v>0</x:v>
      </x:c>
      <x:c r="O24" s="94"/>
      <x:c r="P24" s="100"/>
    </x:row>
    <x:row r="26">
      <x:c r="K26" s="39" t="str">
        <x:v>Summe EK</x:v>
      </x:c>
      <x:c r="L26" s="44" t="n">
        <x:f>SUM(L5:L24)</x:f>
        <x:v>3512</x:v>
      </x:c>
      <x:c r="M26" s="39" t="str"/>
      <x:c r="N26" s="39" t="str">
        <x:v>Summe VK Material</x:v>
      </x:c>
      <x:c r="O26" s="44" t="n">
        <x:f>SUM(N5:N24)</x:f>
        <x:v>4741.200000000001</x:v>
      </x:c>
    </x:row>
  </x:sheetData>
  <x:mergeCells>
    <x:mergeCell ref="A1:P1"/>
    <x:mergeCell ref="A2:P2"/>
  </x:mergeCells>
  <x:dataValidations count="2">
    <x:dataValidation type="list" sqref="C5:C24">
      <x:formula1>"Türe + Zarge,nur Zarge,nur Türblatt,Schiebetüre,2-flügelig,Ganzglas"</x:formula1>
    </x:dataValidation>
    <x:dataValidation type="list" sqref="O5:O24">
      <x:formula1>"Innentürelemente,Sondertüren,Sonstige"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" hidden="0" customWidth="1"/>
    <x:col min="3" max="3" width="13" hidden="0" customWidth="1"/>
    <x:col min="4" max="4" width="13" hidden="0" customWidth="1"/>
    <x:col min="5" max="5" width="12" hidden="0" customWidth="1"/>
    <x:col min="6" max="6" width="13" hidden="0" customWidth="1"/>
    <x:col min="7" max="7" width="13" hidden="0" customWidth="1"/>
    <x:col min="8" max="8" width="18" hidden="0" customWidth="1"/>
    <x:col min="9" max="9" width="25" hidden="0" customWidth="1"/>
  </x:cols>
  <x:sheetData>
    <x:row r="1">
      <x:c r="A1" s="5" t="str">
        <x:v>Drücker &amp; Beschläge – eigene Kundenpositionen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82" t="str">
        <x:v>Bezeichnung</x:v>
      </x:c>
      <x:c r="B3" s="83" t="str">
        <x:v>Menge</x:v>
      </x:c>
      <x:c r="C3" s="83" t="str">
        <x:v>EK/Stk.</x:v>
      </x:c>
      <x:c r="D3" s="83" t="str">
        <x:v>EK gesamt</x:v>
      </x:c>
      <x:c r="E3" s="83" t="str">
        <x:v>Aufschlag %</x:v>
      </x:c>
      <x:c r="F3" s="83" t="str">
        <x:v>VK/Stk.</x:v>
      </x:c>
      <x:c r="G3" s="83" t="str">
        <x:v>VK gesamt</x:v>
      </x:c>
      <x:c r="H3" s="83" t="str">
        <x:v>Kundenposition</x:v>
      </x:c>
      <x:c r="I3" s="84" t="str">
        <x:v>Notiz</x:v>
      </x:c>
    </x:row>
    <x:row r="4">
      <x:c r="A4" s="85" t="str">
        <x:v>Edelstahltürdrücker</x:v>
      </x:c>
      <x:c r="B4" s="86" t="n">
        <x:v>4</x:v>
      </x:c>
      <x:c r="C4" s="88" t="n">
        <x:v>24</x:v>
      </x:c>
      <x:c r="D4" s="90" t="n">
        <x:f>B4*C4</x:f>
        <x:v>96</x:v>
      </x:c>
      <x:c r="E4" s="89" t="n">
        <x:v>0.35</x:v>
      </x:c>
      <x:c r="F4" s="90" t="n">
        <x:f>C4*(1+E4)</x:f>
        <x:v>32.400000000000006</x:v>
      </x:c>
      <x:c r="G4" s="90" t="n">
        <x:f>B4*F4</x:f>
        <x:v>129.60000000000002</x:v>
      </x:c>
      <x:c r="H4" s="86" t="str">
        <x:v>Türdrücker</x:v>
      </x:c>
      <x:c r="I4" s="92" t="str"/>
    </x:row>
    <x:row r="5">
      <x:c r="A5" s="85" t="str">
        <x:v>WC-Drückergarnitur</x:v>
      </x:c>
      <x:c r="B5" s="86" t="n">
        <x:v>3</x:v>
      </x:c>
      <x:c r="C5" s="88" t="n">
        <x:v>32</x:v>
      </x:c>
      <x:c r="D5" s="90" t="n">
        <x:f>B5*C5</x:f>
        <x:v>96</x:v>
      </x:c>
      <x:c r="E5" s="89" t="n">
        <x:v>0.35</x:v>
      </x:c>
      <x:c r="F5" s="90" t="n">
        <x:f>C5*(1+E5)</x:f>
        <x:v>43.2</x:v>
      </x:c>
      <x:c r="G5" s="90" t="n">
        <x:f>B5*F5</x:f>
        <x:v>129.60000000000002</x:v>
      </x:c>
      <x:c r="H5" s="86" t="str">
        <x:v>Türdrücker</x:v>
      </x:c>
      <x:c r="I5" s="92" t="str">
        <x:v>mit WC-Riegel</x:v>
      </x:c>
    </x:row>
    <x:row r="6">
      <x:c r="A6" s="85" t="str">
        <x:v>Muschelgriff + Stirnziehgriff</x:v>
      </x:c>
      <x:c r="B6" s="86" t="n">
        <x:v>1</x:v>
      </x:c>
      <x:c r="C6" s="88" t="n">
        <x:v>48</x:v>
      </x:c>
      <x:c r="D6" s="90" t="n">
        <x:f>B6*C6</x:f>
        <x:v>48</x:v>
      </x:c>
      <x:c r="E6" s="89" t="n">
        <x:v>0.35</x:v>
      </x:c>
      <x:c r="F6" s="90" t="n">
        <x:f>C6*(1+E6)</x:f>
        <x:v>64.80000000000001</x:v>
      </x:c>
      <x:c r="G6" s="90" t="n">
        <x:f>B6*F6</x:f>
        <x:v>64.80000000000001</x:v>
      </x:c>
      <x:c r="H6" s="86" t="str">
        <x:v>Griffe</x:v>
      </x:c>
      <x:c r="I6" s="92" t="str">
        <x:v>Schiebetüre</x:v>
      </x:c>
    </x:row>
    <x:row r="7">
      <x:c r="A7" s="85"/>
      <x:c r="B7" s="86"/>
      <x:c r="C7" s="88"/>
      <x:c r="D7" s="90" t="n">
        <x:f>B7*C7</x:f>
        <x:v>0</x:v>
      </x:c>
      <x:c r="E7" s="89"/>
      <x:c r="F7" s="90" t="n">
        <x:f>C7*(1+E7)</x:f>
        <x:v>0</x:v>
      </x:c>
      <x:c r="G7" s="90" t="n">
        <x:f>B7*F7</x:f>
        <x:v>0</x:v>
      </x:c>
      <x:c r="H7" s="86"/>
      <x:c r="I7" s="92"/>
    </x:row>
    <x:row r="8">
      <x:c r="A8" s="85"/>
      <x:c r="B8" s="86"/>
      <x:c r="C8" s="88"/>
      <x:c r="D8" s="90" t="n">
        <x:f>B8*C8</x:f>
        <x:v>0</x:v>
      </x:c>
      <x:c r="E8" s="89"/>
      <x:c r="F8" s="90" t="n">
        <x:f>C8*(1+E8)</x:f>
        <x:v>0</x:v>
      </x:c>
      <x:c r="G8" s="90" t="n">
        <x:f>B8*F8</x:f>
        <x:v>0</x:v>
      </x:c>
      <x:c r="H8" s="86"/>
      <x:c r="I8" s="92"/>
    </x:row>
    <x:row r="9">
      <x:c r="A9" s="85"/>
      <x:c r="B9" s="86"/>
      <x:c r="C9" s="88"/>
      <x:c r="D9" s="90" t="n">
        <x:f>B9*C9</x:f>
        <x:v>0</x:v>
      </x:c>
      <x:c r="E9" s="89"/>
      <x:c r="F9" s="90" t="n">
        <x:f>C9*(1+E9)</x:f>
        <x:v>0</x:v>
      </x:c>
      <x:c r="G9" s="90" t="n">
        <x:f>B9*F9</x:f>
        <x:v>0</x:v>
      </x:c>
      <x:c r="H9" s="86"/>
      <x:c r="I9" s="92"/>
    </x:row>
    <x:row r="10">
      <x:c r="A10" s="85"/>
      <x:c r="B10" s="86"/>
      <x:c r="C10" s="88"/>
      <x:c r="D10" s="90" t="n">
        <x:f>B10*C10</x:f>
        <x:v>0</x:v>
      </x:c>
      <x:c r="E10" s="89"/>
      <x:c r="F10" s="90" t="n">
        <x:f>C10*(1+E10)</x:f>
        <x:v>0</x:v>
      </x:c>
      <x:c r="G10" s="90" t="n">
        <x:f>B10*F10</x:f>
        <x:v>0</x:v>
      </x:c>
      <x:c r="H10" s="86"/>
      <x:c r="I10" s="92"/>
    </x:row>
    <x:row r="11">
      <x:c r="A11" s="85"/>
      <x:c r="B11" s="86"/>
      <x:c r="C11" s="88"/>
      <x:c r="D11" s="90" t="n">
        <x:f>B11*C11</x:f>
        <x:v>0</x:v>
      </x:c>
      <x:c r="E11" s="89"/>
      <x:c r="F11" s="90" t="n">
        <x:f>C11*(1+E11)</x:f>
        <x:v>0</x:v>
      </x:c>
      <x:c r="G11" s="90" t="n">
        <x:f>B11*F11</x:f>
        <x:v>0</x:v>
      </x:c>
      <x:c r="H11" s="86"/>
      <x:c r="I11" s="92"/>
    </x:row>
    <x:row r="12">
      <x:c r="A12" s="85"/>
      <x:c r="B12" s="86"/>
      <x:c r="C12" s="88"/>
      <x:c r="D12" s="90" t="n">
        <x:f>B12*C12</x:f>
        <x:v>0</x:v>
      </x:c>
      <x:c r="E12" s="89"/>
      <x:c r="F12" s="90" t="n">
        <x:f>C12*(1+E12)</x:f>
        <x:v>0</x:v>
      </x:c>
      <x:c r="G12" s="90" t="n">
        <x:f>B12*F12</x:f>
        <x:v>0</x:v>
      </x:c>
      <x:c r="H12" s="86"/>
      <x:c r="I12" s="92"/>
    </x:row>
    <x:row r="13">
      <x:c r="A13" s="85"/>
      <x:c r="B13" s="86"/>
      <x:c r="C13" s="88"/>
      <x:c r="D13" s="90" t="n">
        <x:f>B13*C13</x:f>
        <x:v>0</x:v>
      </x:c>
      <x:c r="E13" s="89"/>
      <x:c r="F13" s="90" t="n">
        <x:f>C13*(1+E13)</x:f>
        <x:v>0</x:v>
      </x:c>
      <x:c r="G13" s="90" t="n">
        <x:f>B13*F13</x:f>
        <x:v>0</x:v>
      </x:c>
      <x:c r="H13" s="86"/>
      <x:c r="I13" s="92"/>
    </x:row>
    <x:row r="14">
      <x:c r="A14" s="85"/>
      <x:c r="B14" s="86"/>
      <x:c r="C14" s="88"/>
      <x:c r="D14" s="90" t="n">
        <x:f>B14*C14</x:f>
        <x:v>0</x:v>
      </x:c>
      <x:c r="E14" s="89"/>
      <x:c r="F14" s="90" t="n">
        <x:f>C14*(1+E14)</x:f>
        <x:v>0</x:v>
      </x:c>
      <x:c r="G14" s="90" t="n">
        <x:f>B14*F14</x:f>
        <x:v>0</x:v>
      </x:c>
      <x:c r="H14" s="86"/>
      <x:c r="I14" s="92"/>
    </x:row>
    <x:row r="15">
      <x:c r="A15" s="85"/>
      <x:c r="B15" s="86"/>
      <x:c r="C15" s="88"/>
      <x:c r="D15" s="90" t="n">
        <x:f>B15*C15</x:f>
        <x:v>0</x:v>
      </x:c>
      <x:c r="E15" s="89"/>
      <x:c r="F15" s="90" t="n">
        <x:f>C15*(1+E15)</x:f>
        <x:v>0</x:v>
      </x:c>
      <x:c r="G15" s="90" t="n">
        <x:f>B15*F15</x:f>
        <x:v>0</x:v>
      </x:c>
      <x:c r="H15" s="86"/>
      <x:c r="I15" s="92"/>
    </x:row>
    <x:row r="16">
      <x:c r="A16" s="85"/>
      <x:c r="B16" s="86"/>
      <x:c r="C16" s="88"/>
      <x:c r="D16" s="90" t="n">
        <x:f>B16*C16</x:f>
        <x:v>0</x:v>
      </x:c>
      <x:c r="E16" s="89"/>
      <x:c r="F16" s="90" t="n">
        <x:f>C16*(1+E16)</x:f>
        <x:v>0</x:v>
      </x:c>
      <x:c r="G16" s="90" t="n">
        <x:f>B16*F16</x:f>
        <x:v>0</x:v>
      </x:c>
      <x:c r="H16" s="86"/>
      <x:c r="I16" s="92"/>
    </x:row>
    <x:row r="17">
      <x:c r="A17" s="85"/>
      <x:c r="B17" s="86"/>
      <x:c r="C17" s="88"/>
      <x:c r="D17" s="90" t="n">
        <x:f>B17*C17</x:f>
        <x:v>0</x:v>
      </x:c>
      <x:c r="E17" s="89"/>
      <x:c r="F17" s="90" t="n">
        <x:f>C17*(1+E17)</x:f>
        <x:v>0</x:v>
      </x:c>
      <x:c r="G17" s="90" t="n">
        <x:f>B17*F17</x:f>
        <x:v>0</x:v>
      </x:c>
      <x:c r="H17" s="86"/>
      <x:c r="I17" s="92"/>
    </x:row>
    <x:row r="18">
      <x:c r="A18" s="93"/>
      <x:c r="B18" s="94"/>
      <x:c r="C18" s="96"/>
      <x:c r="D18" s="98" t="n">
        <x:f>B18*C18</x:f>
        <x:v>0</x:v>
      </x:c>
      <x:c r="E18" s="97"/>
      <x:c r="F18" s="98" t="n">
        <x:f>C18*(1+E18)</x:f>
        <x:v>0</x:v>
      </x:c>
      <x:c r="G18" s="98" t="n">
        <x:f>B18*F18</x:f>
        <x:v>0</x:v>
      </x:c>
      <x:c r="H18" s="94"/>
      <x:c r="I18" s="100"/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13" hidden="0" customWidth="1"/>
    <x:col min="5" max="5" width="14" hidden="0" customWidth="1"/>
    <x:col min="6" max="6" width="14" hidden="0" customWidth="1"/>
    <x:col min="7" max="7" width="30" hidden="0" customWidth="1"/>
  </x:cols>
  <x:sheetData>
    <x:row r="1">
      <x:c r="A1" s="5" t="str">
        <x:v>Nebenkosten / Montage – pauschale Kundenpositionen</x:v>
      </x:c>
      <x:c r="B1" s="5"/>
      <x:c r="C1" s="5"/>
      <x:c r="D1" s="5"/>
      <x:c r="E1" s="5"/>
      <x:c r="F1" s="5"/>
      <x:c r="G1" s="5"/>
    </x:row>
    <x:row r="3">
      <x:c r="A3" s="82" t="str">
        <x:v>Position</x:v>
      </x:c>
      <x:c r="B3" s="83" t="str">
        <x:v>Berechnung</x:v>
      </x:c>
      <x:c r="C3" s="83" t="str">
        <x:v>Menge</x:v>
      </x:c>
      <x:c r="D3" s="83" t="str">
        <x:v>Satz</x:v>
      </x:c>
      <x:c r="E3" s="83" t="str">
        <x:v>Vorschlag</x:v>
      </x:c>
      <x:c r="F3" s="83" t="str">
        <x:v>Kundenpreis</x:v>
      </x:c>
      <x:c r="G3" s="84" t="str">
        <x:v>Notiz</x:v>
      </x:c>
    </x:row>
    <x:row r="4">
      <x:c r="A4" s="85" t="str">
        <x:v>Montage</x:v>
      </x:c>
      <x:c r="B4" s="86" t="str">
        <x:v>je Element</x:v>
      </x:c>
      <x:c r="C4" s="86" t="n">
        <x:v>7</x:v>
      </x:c>
      <x:c r="D4" s="88" t="n">
        <x:v>125</x:v>
      </x:c>
      <x:c r="E4" s="90" t="n">
        <x:f>C4*D4</x:f>
        <x:v>875</x:v>
      </x:c>
      <x:c r="F4" s="88" t="n">
        <x:v>875</x:v>
      </x:c>
      <x:c r="G4" s="92" t="str">
        <x:v>frei überschreibbar</x:v>
      </x:c>
    </x:row>
    <x:row r="5">
      <x:c r="A5" s="85" t="str">
        <x:v>Manipulation / Müll</x:v>
      </x:c>
      <x:c r="B5" s="86" t="str">
        <x:v>je Element</x:v>
      </x:c>
      <x:c r="C5" s="86" t="n">
        <x:v>7</x:v>
      </x:c>
      <x:c r="D5" s="88" t="n">
        <x:v>15</x:v>
      </x:c>
      <x:c r="E5" s="90" t="n">
        <x:f>C5*D5</x:f>
        <x:v>105</x:v>
      </x:c>
      <x:c r="F5" s="88" t="n">
        <x:v>105</x:v>
      </x:c>
      <x:c r="G5" s="92" t="str">
        <x:v>z.B. Mülltrennung/Verpackung</x:v>
      </x:c>
    </x:row>
    <x:row r="6">
      <x:c r="A6" s="85" t="str">
        <x:v>Zustellung</x:v>
      </x:c>
      <x:c r="B6" s="86" t="str">
        <x:v>pauschal</x:v>
      </x:c>
      <x:c r="C6" s="86" t="n">
        <x:v>1</x:v>
      </x:c>
      <x:c r="D6" s="88" t="n">
        <x:v>72</x:v>
      </x:c>
      <x:c r="E6" s="90" t="n">
        <x:f>C6*D6</x:f>
        <x:v>72</x:v>
      </x:c>
      <x:c r="F6" s="88" t="n">
        <x:v>72</x:v>
      </x:c>
      <x:c r="G6" s="92" t="str">
        <x:v>Hersteller/Großhändler</x:v>
      </x:c>
    </x:row>
    <x:row r="7">
      <x:c r="A7" s="85" t="str">
        <x:v>Sonstige Position 1</x:v>
      </x:c>
      <x:c r="B7" s="86" t="str">
        <x:v>pauschal</x:v>
      </x:c>
      <x:c r="C7" s="86" t="n">
        <x:v>1</x:v>
      </x:c>
      <x:c r="D7" s="88" t="n">
        <x:v>0</x:v>
      </x:c>
      <x:c r="E7" s="90" t="n">
        <x:f>C7*D7</x:f>
        <x:v>0</x:v>
      </x:c>
      <x:c r="F7" s="88" t="n">
        <x:v>0</x:v>
      </x:c>
      <x:c r="G7" s="92" t="str"/>
    </x:row>
    <x:row r="8">
      <x:c r="A8" s="93" t="str">
        <x:v>Sonstige Position 2</x:v>
      </x:c>
      <x:c r="B8" s="94" t="str">
        <x:v>pauschal</x:v>
      </x:c>
      <x:c r="C8" s="94" t="n">
        <x:v>1</x:v>
      </x:c>
      <x:c r="D8" s="96" t="n">
        <x:v>0</x:v>
      </x:c>
      <x:c r="E8" s="98" t="n">
        <x:f>C8*D8</x:f>
        <x:v>0</x:v>
      </x:c>
      <x:c r="F8" s="96" t="n">
        <x:v>0</x:v>
      </x:c>
      <x:c r="G8" s="100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3" hidden="0" customWidth="1"/>
    <x:col min="6" max="6" width="30" hidden="0" customWidth="1"/>
    <x:col min="7" max="7" width="17" hidden="0" customWidth="1"/>
    <x:col min="8" max="8" width="34" hidden="0" customWidth="1"/>
  </x:cols>
  <x:sheetData>
    <x:row r="1">
      <x:c r="A1" s="68" t="str">
        <x:v>Auftragskalkulation – Zusammenfassung</x:v>
      </x:c>
      <x:c r="B1" s="68"/>
      <x:c r="C1" s="68"/>
      <x:c r="D1" s="68"/>
      <x:c r="E1" s="68"/>
      <x:c r="F1" s="68"/>
      <x:c r="G1" s="68"/>
      <x:c r="H1" s="68"/>
    </x:row>
    <x:row r="2">
      <x:c r="A2" s="69"/>
      <x:c r="B2" s="69"/>
      <x:c r="C2" s="69"/>
      <x:c r="D2" s="69"/>
      <x:c r="E2" s="69"/>
      <x:c r="F2" s="69"/>
      <x:c r="G2" s="69"/>
      <x:c r="H2" s="69"/>
    </x:row>
    <x:row r="3">
      <x:c r="A3" s="70" t="str">
        <x:v>Projekt</x:v>
      </x:c>
      <x:c r="B3" s="46" t="str">
        <x:v>Musterprojekt – 7 Türen</x:v>
      </x:c>
      <x:c r="C3" s="69"/>
      <x:c r="D3" s="69"/>
      <x:c r="E3" s="69"/>
      <x:c r="F3" s="82" t="str">
        <x:v>Kundenangebot – kompakt</x:v>
      </x:c>
      <x:c r="G3" s="83" t="str">
        <x:v>Betrag brutto</x:v>
      </x:c>
      <x:c r="H3" s="84" t="str">
        <x:v>Hinweis</x:v>
      </x:c>
    </x:row>
    <x:row r="4">
      <x:c r="A4" s="70" t="str">
        <x:v>Kunde</x:v>
      </x:c>
      <x:c r="B4" s="46" t="str">
        <x:v>Mustermann</x:v>
      </x:c>
      <x:c r="C4" s="69"/>
      <x:c r="D4" s="69"/>
      <x:c r="E4" s="69"/>
      <x:c r="F4" s="120" t="str">
        <x:v>Pos 1 – Innentürelemente</x:v>
      </x:c>
      <x:c r="G4" s="121" t="n">
        <x:f>'Türkalkulation'!O26</x:f>
        <x:v>4741.200000000001</x:v>
      </x:c>
      <x:c r="H4" s="132" t="str">
        <x:v>Türen intern detailliert, im Angebot pauschal</x:v>
      </x:c>
    </x:row>
    <x:row r="5">
      <x:c r="A5" s="69"/>
      <x:c r="B5" s="69"/>
      <x:c r="C5" s="69"/>
      <x:c r="D5" s="69"/>
      <x:c r="E5" s="69"/>
      <x:c r="F5" s="120" t="str">
        <x:v>Pos 2 – Türdrücker / Griffe</x:v>
      </x:c>
      <x:c r="G5" s="121" t="n">
        <x:f>SUM('Drücker &amp; Beschläge'!G4:G18)</x:f>
        <x:v>324.00000000000006</x:v>
      </x:c>
      <x:c r="H5" s="132" t="str">
        <x:v>separate Position</x:v>
      </x:c>
    </x:row>
    <x:row r="6">
      <x:c r="A6" s="82" t="str">
        <x:v>Interne Kalkulation</x:v>
      </x:c>
      <x:c r="B6" s="83" t="str">
        <x:v>EK</x:v>
      </x:c>
      <x:c r="C6" s="83" t="str">
        <x:v>VK</x:v>
      </x:c>
      <x:c r="D6" s="84" t="str">
        <x:v>Rohertrag</x:v>
      </x:c>
      <x:c r="E6" s="69"/>
      <x:c r="F6" s="120" t="str">
        <x:v>Pos 3 – Manipulation</x:v>
      </x:c>
      <x:c r="G6" s="121" t="n">
        <x:f>Nebenkosten!F5</x:f>
        <x:v>105</x:v>
      </x:c>
      <x:c r="H6" s="132" t="str">
        <x:v>pauschal / je Element</x:v>
      </x:c>
    </x:row>
    <x:row r="7">
      <x:c r="A7" s="120" t="str">
        <x:v>Türen / Elemente</x:v>
      </x:c>
      <x:c r="B7" s="121" t="n">
        <x:f>'Türkalkulation'!L26</x:f>
        <x:v>3512</x:v>
      </x:c>
      <x:c r="C7" s="121" t="n">
        <x:f>'Türkalkulation'!O26</x:f>
        <x:v>4741.200000000001</x:v>
      </x:c>
      <x:c r="D7" s="122" t="n">
        <x:f>C7-B7</x:f>
        <x:v>1229.2000000000007</x:v>
      </x:c>
      <x:c r="E7" s="69"/>
      <x:c r="F7" s="120" t="str">
        <x:v>Pos 4 – Zustellung</x:v>
      </x:c>
      <x:c r="G7" s="121" t="n">
        <x:f>Nebenkosten!F6</x:f>
        <x:v>72</x:v>
      </x:c>
      <x:c r="H7" s="132" t="str">
        <x:v>pauschal</x:v>
      </x:c>
    </x:row>
    <x:row r="8">
      <x:c r="A8" s="120" t="str">
        <x:v>Drücker &amp; Beschläge</x:v>
      </x:c>
      <x:c r="B8" s="121" t="n">
        <x:f>SUM('Drücker &amp; Beschläge'!D4:D18)</x:f>
        <x:v>240</x:v>
      </x:c>
      <x:c r="C8" s="121" t="n">
        <x:f>SUM('Drücker &amp; Beschläge'!G4:G18)</x:f>
        <x:v>324.00000000000006</x:v>
      </x:c>
      <x:c r="D8" s="122" t="n">
        <x:f>C8-B8</x:f>
        <x:v>84.00000000000006</x:v>
      </x:c>
      <x:c r="E8" s="69"/>
      <x:c r="F8" s="120" t="str">
        <x:v>Pos 5 – Lieferung &amp; Montage</x:v>
      </x:c>
      <x:c r="G8" s="121" t="n">
        <x:f>Nebenkosten!F4</x:f>
        <x:v>875</x:v>
      </x:c>
      <x:c r="H8" s="132" t="str">
        <x:v>z.B. 125 € je Element, frei änderbar</x:v>
      </x:c>
    </x:row>
    <x:row r="9">
      <x:c r="A9" s="120" t="str">
        <x:v>Nebenkosten / Montage</x:v>
      </x:c>
      <x:c r="B9" s="121" t="n">
        <x:v>0</x:v>
      </x:c>
      <x:c r="C9" s="121" t="n">
        <x:f>SUM(Nebenkosten!F4:F8)</x:f>
        <x:v>1052</x:v>
      </x:c>
      <x:c r="D9" s="122" t="n">
        <x:f>C9-B9</x:f>
        <x:v>1052</x:v>
      </x:c>
      <x:c r="E9" s="69"/>
      <x:c r="F9" s="120"/>
      <x:c r="G9" s="133"/>
      <x:c r="H9" s="132"/>
    </x:row>
    <x:row r="10">
      <x:c r="A10" s="120" t="str">
        <x:v>Gesamt</x:v>
      </x:c>
      <x:c r="B10" s="121" t="n">
        <x:f>SUM(B7:B9)</x:f>
        <x:v>3752</x:v>
      </x:c>
      <x:c r="C10" s="121" t="n">
        <x:f>SUM(C7:C9)</x:f>
        <x:v>6117.200000000001</x:v>
      </x:c>
      <x:c r="D10" s="122" t="n">
        <x:f>C10-B10</x:f>
        <x:v>2365.2000000000007</x:v>
      </x:c>
      <x:c r="E10" s="69"/>
      <x:c r="F10" s="134" t="str">
        <x:v>Kundenpreis brutto gesamt</x:v>
      </x:c>
      <x:c r="G10" s="135" t="n">
        <x:f>SUM(G4:G8)</x:f>
        <x:v>6117.200000000001</x:v>
      </x:c>
      <x:c r="H10" s="136"/>
    </x:row>
    <x:row r="11">
      <x:c r="A11" s="123" t="str">
        <x:v>Rohertrag %</x:v>
      </x:c>
      <x:c r="B11" s="124"/>
      <x:c r="C11" s="124"/>
      <x:c r="D11" s="125" t="n">
        <x:f>IF(C10=0,0,D10/C10)</x:f>
        <x:v>0.3866474857778069</x:v>
      </x:c>
      <x:c r="E11" s="69"/>
      <x:c r="F11" s="69"/>
      <x:c r="G11" s="69"/>
      <x:c r="H11" s="69"/>
    </x:row>
    <x:row r="12">
      <x:c r="A12" s="69"/>
      <x:c r="B12" s="69"/>
      <x:c r="C12" s="69"/>
      <x:c r="D12" s="69"/>
      <x:c r="E12" s="69"/>
      <x:c r="F12" s="69"/>
      <x:c r="G12" s="69"/>
      <x:c r="H12" s="69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f15ba4e02974bce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6" t="str">
        <x:v>Elementarten</x:v>
      </x:c>
      <x:c r="B1" s="16" t="str">
        <x:v>Kundengruppen</x:v>
      </x:c>
    </x:row>
    <x:row r="2">
      <x:c r="A2" t="str">
        <x:v>Türe + Zarge</x:v>
      </x:c>
      <x:c r="B2" t="str">
        <x:v>Innentürelemente</x:v>
      </x:c>
    </x:row>
    <x:row r="3">
      <x:c r="A3" t="str">
        <x:v>nur Zarge</x:v>
      </x:c>
      <x:c r="B3" t="str">
        <x:v>Sondertüren</x:v>
      </x:c>
    </x:row>
    <x:row r="4">
      <x:c r="A4" t="str">
        <x:v>nur Türblatt</x:v>
      </x:c>
      <x:c r="B4" t="str">
        <x:v>Sonstige</x:v>
      </x:c>
    </x:row>
    <x:row r="5">
      <x:c r="A5" t="str">
        <x:v>Schiebetüre</x:v>
      </x:c>
    </x:row>
    <x:row r="6">
      <x:c r="A6" t="str">
        <x:v>2-flügelig</x:v>
      </x:c>
    </x:row>
    <x:row r="7">
      <x:c r="A7" t="str">
        <x:v>Ganzglas</x:v>
      </x:c>
    </x:row>
  </x:sheetData>
  <x:pageMargins left="0.7" right="0.7" top="0.75" bottom="0.75" header="0.3" footer="0.3"/>
</x:worksheet>
</file>